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360" yWindow="15" windowWidth="20955" windowHeight="9720" tabRatio="600" firstSheet="0" activeTab="0" autoFilterDateGrouping="1"/>
  </bookViews>
  <sheets>
    <sheet name="IEEE 29148 BRD Checklist"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4">
    <font>
      <name val="Calibri"/>
      <color theme="1"/>
      <sz val="11"/>
      <scheme val="minor"/>
    </font>
    <font>
      <name val="Calibri"/>
      <b val="1"/>
      <color indexed="65"/>
      <sz val="11"/>
    </font>
    <font>
      <name val="Calibri"/>
      <b val="1"/>
      <sz val="11"/>
    </font>
    <font>
      <name val="Calibri"/>
      <sz val="11"/>
    </font>
  </fonts>
  <fills count="5">
    <fill>
      <patternFill/>
    </fill>
    <fill>
      <patternFill patternType="gray125"/>
    </fill>
    <fill>
      <patternFill patternType="solid">
        <fgColor rgb="FF117A65"/>
        <bgColor rgb="FF117A65"/>
      </patternFill>
    </fill>
    <fill>
      <patternFill patternType="solid">
        <fgColor indexed="65"/>
        <bgColor indexed="65"/>
      </patternFill>
    </fill>
    <fill>
      <patternFill patternType="solid">
        <fgColor rgb="FFE8F8F5"/>
        <bgColor rgb="FFE8F8F5"/>
      </patternFill>
    </fill>
  </fills>
  <borders count="6">
    <border>
      <left/>
      <right/>
      <top/>
      <bottom/>
      <diagonal/>
    </border>
    <border>
      <left style="thin">
        <color rgb="FFD0D3D4"/>
      </left>
      <right style="thin">
        <color rgb="FFD0D3D4"/>
      </right>
      <top style="thin">
        <color rgb="FFD0D3D4"/>
      </top>
      <bottom style="thin">
        <color rgb="FFD0D3D4"/>
      </bottom>
      <diagonal/>
    </border>
    <border>
      <left style="thin">
        <color rgb="FFD0D3D4"/>
      </left>
      <right style="thin">
        <color rgb="FFD0D3D4"/>
      </right>
      <top style="thin">
        <color rgb="FFD0D3D4"/>
      </top>
      <bottom/>
      <diagonal/>
    </border>
    <border>
      <left style="thin">
        <color rgb="FFD0D3D4"/>
      </left>
      <right style="thin">
        <color rgb="FFD0D3D4"/>
      </right>
      <top/>
      <bottom/>
      <diagonal/>
    </border>
    <border>
      <left style="thin">
        <color rgb="FFD0D3D4"/>
      </left>
      <right style="thin">
        <color rgb="FFD0D3D4"/>
      </right>
      <top/>
      <bottom style="thin">
        <color rgb="FFD0D3D4"/>
      </bottom>
      <diagonal/>
    </border>
    <border>
      <left style="thin">
        <color rgb="FFD0D3D4"/>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center"/>
    </xf>
    <xf numFmtId="0"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3" borderId="2" applyAlignment="1" pivotButton="0" quotePrefix="0" xfId="0">
      <alignment horizontal="center" vertical="center"/>
    </xf>
    <xf numFmtId="0" fontId="2" fillId="0" borderId="1" pivotButton="0" quotePrefix="0" xfId="0"/>
    <xf numFmtId="0" fontId="3" fillId="0" borderId="1" applyAlignment="1" pivotButton="0" quotePrefix="0" xfId="0">
      <alignment vertical="center" wrapText="1"/>
    </xf>
    <xf numFmtId="0" fontId="3" fillId="0" borderId="1" applyAlignment="1" pivotButton="0" quotePrefix="0" xfId="0">
      <alignment horizontal="center" vertical="center"/>
    </xf>
    <xf numFmtId="0" fontId="2" fillId="3" borderId="3" applyAlignment="1" pivotButton="0" quotePrefix="0" xfId="0">
      <alignment horizontal="center" vertical="center"/>
    </xf>
    <xf numFmtId="0" fontId="3" fillId="0" borderId="1" pivotButton="0" quotePrefix="0" xfId="0"/>
    <xf numFmtId="0" fontId="2" fillId="3" borderId="4" applyAlignment="1" pivotButton="0" quotePrefix="0" xfId="0">
      <alignment horizontal="center" vertical="center"/>
    </xf>
    <xf numFmtId="0" fontId="2" fillId="4" borderId="2" applyAlignment="1" pivotButton="0" quotePrefix="0" xfId="0">
      <alignment horizontal="center" vertical="center"/>
    </xf>
    <xf numFmtId="0" fontId="2" fillId="4" borderId="3" applyAlignment="1" pivotButton="0" quotePrefix="0" xfId="0">
      <alignment horizontal="center" vertical="center"/>
    </xf>
    <xf numFmtId="0" fontId="2" fillId="4" borderId="4" applyAlignment="1" pivotButton="0" quotePrefix="0" xfId="0">
      <alignment horizontal="center" vertical="center"/>
    </xf>
    <xf numFmtId="0" fontId="2" fillId="3" borderId="1" applyAlignment="1" pivotButton="0" quotePrefix="0" xfId="0">
      <alignment horizontal="center" vertical="center"/>
    </xf>
    <xf numFmtId="0" fontId="0" fillId="0" borderId="3" pivotButton="0" quotePrefix="0" xfId="0"/>
    <xf numFmtId="0" fontId="0" fillId="0" borderId="4" pivotButton="0" quotePrefix="0" xfId="0"/>
    <xf numFmtId="0" fontId="2" fillId="4" borderId="1" applyAlignment="1" pivotButton="0" quotePrefix="0" xfId="0">
      <alignment horizontal="center" vertical="center"/>
    </xf>
    <xf numFmtId="0" fontId="2" fillId="0" borderId="0" applyAlignment="1" pivotButton="0" quotePrefix="0" xfId="0">
      <alignment vertical="center" wrapText="1"/>
    </xf>
    <xf numFmtId="0" fontId="3" fillId="0" borderId="0" applyAlignment="1" pivotButton="0" quotePrefix="0" xfId="0">
      <alignment horizontal="left" vertical="center" wrapText="1"/>
    </xf>
    <xf numFmtId="164" fontId="3" fillId="0" borderId="0"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sheetPr>
    <outlinePr applyStyles="0" summaryBelow="1" summaryRight="1" showOutlineSymbols="1"/>
    <pageSetUpPr autoPageBreaks="1" fitToPage="0"/>
  </sheetPr>
  <dimension ref="A1:E33"/>
  <sheetViews>
    <sheetView topLeftCell="A1" zoomScale="100" workbookViewId="0">
      <pane ySplit="1" topLeftCell="A2" activePane="bottomLeft" state="frozen"/>
      <selection activeCell="A1" activeCellId="0" sqref="A1"/>
    </sheetView>
  </sheetViews>
  <sheetFormatPr baseColWidth="8" defaultRowHeight="14.25"/>
  <cols>
    <col width="32" customWidth="1" style="1" min="1" max="1"/>
    <col width="28" customWidth="1" min="2" max="2"/>
    <col width="68" customWidth="1" min="3" max="3"/>
    <col width="16" customWidth="1" min="4" max="4"/>
    <col width="38" customWidth="1" min="5" max="5"/>
  </cols>
  <sheetData>
    <row r="1">
      <c r="A1" s="2" t="inlineStr">
        <is>
          <t>Category</t>
        </is>
      </c>
      <c r="B1" s="2" t="inlineStr">
        <is>
          <t>Checklist Item</t>
        </is>
      </c>
      <c r="C1" s="2" t="inlineStr">
        <is>
          <t>Description / Question</t>
        </is>
      </c>
      <c r="D1" s="3" t="inlineStr">
        <is>
          <t>Status</t>
        </is>
      </c>
      <c r="E1" s="2" t="inlineStr">
        <is>
          <t>Notes / Action Items</t>
        </is>
      </c>
    </row>
    <row r="2" ht="75" customHeight="1">
      <c r="A2" s="14" t="inlineStr">
        <is>
          <t>1. Document &amp; Business Overview</t>
        </is>
      </c>
      <c r="B2" s="5" t="inlineStr">
        <is>
          <t>Business Purpose &amp; Drivers</t>
        </is>
      </c>
      <c r="C2" s="6" t="inlineStr">
        <is>
          <t>Does the BRD clearly articulate the core business problem, opportunity, or strategic drivers behind the project?</t>
        </is>
      </c>
      <c r="D2" s="7" t="inlineStr">
        <is>
          <t>Done</t>
        </is>
      </c>
      <c r="E2" s="6" t="inlineStr">
        <is>
          <t>Đạt. Vấn đề, động lực và lý do triển khai được nêu ở §2, §3, §4 (SRC-001); có tách nguyên nhân gốc / triệu chứng (§3.5).
Hạn chế: chi phí của việc không thay đổi chưa định lượng được (OQ-002).</t>
        </is>
      </c>
    </row>
    <row r="3" ht="120" customHeight="1">
      <c r="A3" s="15" t="n"/>
      <c r="B3" s="9" t="inlineStr">
        <is>
          <t>Business Objectives &amp; Success Metrics</t>
        </is>
      </c>
      <c r="C3" s="6" t="inlineStr">
        <is>
          <t>Are key performance indicators (KPIs), ROI expectations, and measurable business success criteria explicitly defined?</t>
        </is>
      </c>
      <c r="D3" s="7" t="inlineStr">
        <is>
          <t>In Progress</t>
        </is>
      </c>
      <c r="E3" s="6" t="inlineStr">
        <is>
          <t>Đạt một phần. Đã có BO-001..003 và MET-001..003 với định nghĩa, công thức, nguồn dữ liệu, tần suất (§4.1).
Thiếu: mọi baseline/target đều [TBD] (OQ-002..005); không có kỳ vọng ROI/chi phí–lợi ích (OQ-007).
Hành động: đo baseline MET-001 bằng bộ câu hỏi chuẩn; quản lý chốt target.</t>
        </is>
      </c>
    </row>
    <row r="4" ht="75" customHeight="1">
      <c r="A4" s="15" t="n"/>
      <c r="B4" s="9" t="inlineStr">
        <is>
          <t>Scope &amp; Boundaries</t>
        </is>
      </c>
      <c r="C4" s="6" t="inlineStr">
        <is>
          <t>Are the project in-scope items, explicit out-of-scope items, and operational boundaries unambiguously detailed?</t>
        </is>
      </c>
      <c r="D4" s="7" t="inlineStr">
        <is>
          <t>Done</t>
        </is>
      </c>
      <c r="E4" s="6" t="inlineStr">
        <is>
          <t>Đạt. §5 có đủ trong phạm vi, ngoài phạm vi (kèm lý do), hoãn lại và ranh giới.
Lưu ý: phạm vi còn phụ thuộc việc duyệt đề xuất BA (OQ-013) và quyết định bộ tài liệu dùng chung (OQ-009).</t>
        </is>
      </c>
    </row>
    <row r="5" ht="135" customHeight="1">
      <c r="A5" s="16" t="n"/>
      <c r="B5" s="9" t="inlineStr">
        <is>
          <t>Vision Statement</t>
        </is>
      </c>
      <c r="C5" s="6" t="inlineStr">
        <is>
          <t>Is there a concise high-level vision statement aligning the project with organizational strategy according to IEEE 29148?</t>
        </is>
      </c>
      <c r="D5" s="7" t="inlineStr">
        <is>
          <t>Pending</t>
        </is>
      </c>
      <c r="E5" s="6" t="inlineStr">
        <is>
          <t>Chưa đạt. BRD không có tuyên bố tầm nhìn (vision statement) riêng và chưa liên kết với chiến lược tổ chức (chưa biết tổ chức — OQ-001).
Hành động: bổ sung 1–2 câu vision vào §2 (vd. "Mọi nhân viên BD có câu trả lời có căn cứ từ toàn bộ tài liệu dự án mà không cần mở từng file") và mục tiêu chiến lược liên quan.</t>
        </is>
      </c>
    </row>
    <row r="6" ht="105" customHeight="1">
      <c r="A6" s="17" t="inlineStr">
        <is>
          <t>2. Stakeholder &amp; User Analysis</t>
        </is>
      </c>
      <c r="B6" s="5" t="inlineStr">
        <is>
          <t>Stakeholder Identification</t>
        </is>
      </c>
      <c r="C6" s="6" t="inlineStr">
        <is>
          <t>Are all key internal and external stakeholders, business sponsors, and user classes fully identified and categorized?</t>
        </is>
      </c>
      <c r="D6" s="7" t="inlineStr">
        <is>
          <t>In Progress</t>
        </is>
      </c>
      <c r="E6" s="6" t="inlineStr">
        <is>
          <t>Đạt một phần. Có STK-001..005, gồm cả bên có thể chặn (STK-005).
Thiếu: tên người cụ thể (OQ-001); STK-005 chưa xác minh; chưa xét bên ngoài như chủ sở hữu tài liệu/đối tác có thông tin trong PDF và nhà cung cấp dịch vụ AI.
Hành động: bổ sung STK cho các bên này.</t>
        </is>
      </c>
    </row>
    <row r="7" ht="120" customHeight="1">
      <c r="A7" s="15" t="n"/>
      <c r="B7" s="9" t="inlineStr">
        <is>
          <t>User Personas &amp; Profile Characteristics</t>
        </is>
      </c>
      <c r="C7" s="6" t="inlineStr">
        <is>
          <t>Are target user profiles, business roles, operational contexts, and domain experience levels adequately specified?</t>
        </is>
      </c>
      <c r="D7" s="7" t="inlineStr">
        <is>
          <t>Pending</t>
        </is>
      </c>
      <c r="E7" s="6" t="inlineStr">
        <is>
          <t>Chưa đạt. Chỉ có "Đội BD — người dùng chính"; chưa mô tả hồ sơ người dùng (vai trò con, số lượng, tần suất tìm thông tin, mức thành thạo công cụ, bối cảnh làm việc).
Hành động: phỏng vấn 3–5 nhân viên BD, bổ sung mục User profile/persona vào §6 (gắn với OQ-002, OQ-005).</t>
        </is>
      </c>
    </row>
    <row r="8" ht="90" customHeight="1">
      <c r="A8" s="16" t="n"/>
      <c r="B8" s="9" t="inlineStr">
        <is>
          <t>Business Constraints</t>
        </is>
      </c>
      <c r="C8" s="6" t="inlineStr">
        <is>
          <t>Are organizational, financial, regulatory, time-to-market, and strategic business constraints documented?</t>
        </is>
      </c>
      <c r="D8" s="7" t="inlineStr">
        <is>
          <t>In Progress</t>
        </is>
      </c>
      <c r="E8" s="6" t="inlineStr">
        <is>
          <t>Đạt một phần. CON-001..006 có ghi nhận (web, PDF, chat AI, MVP).
Thiếu: thời hạn (CON-005) và ngân sách (CON-006) còn [TBD]; chưa có ràng buộc pháp lý/quy định nào được xác định (xem dòng 16).</t>
        </is>
      </c>
    </row>
    <row r="9" ht="105" customHeight="1">
      <c r="A9" s="14" t="inlineStr">
        <is>
          <t>3. Business Process &amp; Operational Concept</t>
        </is>
      </c>
      <c r="B9" s="5" t="inlineStr">
        <is>
          <t>Current State ('As-Is') Workflow</t>
        </is>
      </c>
      <c r="C9" s="6" t="inlineStr">
        <is>
          <t>Is the existing business workflow/process documented to provide context for the proposed changes?</t>
        </is>
      </c>
      <c r="D9" s="7" t="inlineStr">
        <is>
          <t>In Progress</t>
        </is>
      </c>
      <c r="E9" s="6" t="inlineStr">
        <is>
          <t>Đạt một phần. Có sơ đồ Mermaid As-Is (§3.1) nhưng được suy ra từ SRC-001 và đánh dấu [Unverified].
Hành động: xác nhận quy trình qua phỏng vấn/quan sát đội BD; ghi nhận thêm công cụ đang dùng (thư mục chung, tìm kiếm trong PDF…).</t>
        </is>
      </c>
    </row>
    <row r="10" ht="90" customHeight="1">
      <c r="A10" s="15" t="n"/>
      <c r="B10" s="9" t="inlineStr">
        <is>
          <t>Target State ('To-Be') Workflow</t>
        </is>
      </c>
      <c r="C10" s="6" t="inlineStr">
        <is>
          <t>Is the proposed business process model clearly illustrated, highlighting improvements, automation, or structural changes?</t>
        </is>
      </c>
      <c r="D10" s="7" t="inlineStr">
        <is>
          <t>Done</t>
        </is>
      </c>
      <c r="E10" s="6" t="inlineStr">
        <is>
          <t>Đạt. Có sơ đồ To-Be (§3.2) ở mức nghiệp vụ, thể hiện thay đổi: hỏi một lần trên toàn bộ tài liệu, kiểm chứng qua trích dẫn.
Gợi ý: thêm một câu so sánh As-Is/To-Be (bước bị loại bỏ) để làm rõ cải tiến.</t>
        </is>
      </c>
    </row>
    <row r="11" ht="120" customHeight="1">
      <c r="A11" s="16" t="n"/>
      <c r="B11" s="9" t="inlineStr">
        <is>
          <t>Operational Scenario &amp; Use Cases</t>
        </is>
      </c>
      <c r="C11" s="6" t="inlineStr">
        <is>
          <t>Are high-level business scenarios and primary business use cases described from the end-user/business perspective?</t>
        </is>
      </c>
      <c r="D11" s="7" t="inlineStr">
        <is>
          <t>Pending</t>
        </is>
      </c>
      <c r="E11" s="6" t="inlineStr">
        <is>
          <t>Chưa đạt. BRD chưa có mục kịch bản nghiệp vụ / use case cấp cao; các tình huống chỉ ngầm định trong tiêu chí chấp nhận.
Hành động: bổ sung 3–5 kịch bản (vd. tra cứu điều khoản trong hợp đồng, tổng hợp thông tin một đối tác từ nhiều file, kiểm tra một số liệu trước khi gửi khách hàng), mỗi kịch bản truy vết tới BR.</t>
        </is>
      </c>
    </row>
    <row r="12" ht="135" customHeight="1">
      <c r="A12" s="17" t="inlineStr">
        <is>
          <t>4. Business &amp; High-Level Functional Requirements</t>
        </is>
      </c>
      <c r="B12" s="5" t="inlineStr">
        <is>
          <t>Singularity &amp; Clarity</t>
        </is>
      </c>
      <c r="C12" s="6" t="inlineStr">
        <is>
          <t>Is each business requirement written as a single, unambiguous statement using standardized IEEE wording (e.g., 'The system shall...')?</t>
        </is>
      </c>
      <c r="D12" s="7" t="inlineStr">
        <is>
          <t>In Progress</t>
        </is>
      </c>
      <c r="E12" s="6" t="inlineStr">
        <is>
          <t>Đạt phần lớn: 15 BR dùng shall/should/may, mỗi câu một nghĩa vụ.
Lỗi cần sửa:
- BR-013 có hai đối tượng (bộ tài liệu và hội thoại) → tách 2 BR.
- BR-012 chứa giá trị [TBD] → chưa rõ nghĩa cho tới khi đóng OQ-015.
- Chủ ngữ chưa thống nhất ("Người dùng BD" / "Công cụ") → thống nhất quy ước.</t>
        </is>
      </c>
    </row>
    <row r="13" ht="105" customHeight="1">
      <c r="A13" s="15" t="n"/>
      <c r="B13" s="9" t="inlineStr">
        <is>
          <t>Completeness &amp; Implementation-Free</t>
        </is>
      </c>
      <c r="C13" s="6" t="inlineStr">
        <is>
          <t>Are business requirements complete and stated purely in terms of business capabilities rather than technical design/implementation details?</t>
        </is>
      </c>
      <c r="D13" s="7" t="inlineStr">
        <is>
          <t>In Progress</t>
        </is>
      </c>
      <c r="E13" s="6" t="inlineStr">
        <is>
          <t>Implementation-free: đạt — gợi ý kỹ thuật (RAG, chọn nhà cung cấp AI) đã chuyển sang §15.2.
Completeness: chưa đạt — BR-012, BRU-003, BRU-005 và ngưỡng AC-006..009, AC-011, AC-012 còn [TBD] (OQ-004, OQ-011, OQ-015, OQ-016).</t>
        </is>
      </c>
    </row>
    <row r="14" ht="105" customHeight="1">
      <c r="A14" s="15" t="n"/>
      <c r="B14" s="9" t="inlineStr">
        <is>
          <t>Traceability &amp; Rationale</t>
        </is>
      </c>
      <c r="C14" s="6" t="inlineStr">
        <is>
          <t>Does each requirement include a clear business justification/rationale and a unique identifier for downstream requirements tracing?</t>
        </is>
      </c>
      <c r="D14" s="7" t="inlineStr">
        <is>
          <t>Done</t>
        </is>
      </c>
      <c r="E14" s="6" t="inlineStr">
        <is>
          <t>Đạt. Mỗi BR có ID cố định, cột Lý do, nguồn (BO/SN/SRC) và AC riêng; có ma trận truy vết và báo cáo độ bao phủ (§11).
Lưu ý: BR-003, BR-011, BR-013, BR-014 chỉ truy vết tới SN (không tới BO); ID PRD/SRS hạ nguồn còn [TBD] — bình thường ở giai đoạn này.</t>
        </is>
      </c>
    </row>
    <row r="15" ht="120" customHeight="1">
      <c r="A15" s="16" t="n"/>
      <c r="B15" s="9" t="inlineStr">
        <is>
          <t>Feasibility &amp; Realism</t>
        </is>
      </c>
      <c r="C15" s="6" t="inlineStr">
        <is>
          <t>Are all business requirements achievable within the known business context, operational constraints, and technology capability?</t>
        </is>
      </c>
      <c r="D15" s="7" t="inlineStr">
        <is>
          <t>In Progress</t>
        </is>
      </c>
      <c r="E15" s="6" t="inlineStr">
        <is>
          <t>Chưa khẳng định được. Khả thi phụ thuộc ngân sách, thời hạn và quyền dùng AI bên ngoài (OQ-006, OQ-007, OQ-008).
Rủi ro khả thi: AC-008 yêu cầu 100% câu trả lời có trích dẫn và BR-009 yêu cầu AI tự nhận biết khi không có thông tin — cần đội phát triển đánh giá bằng PoC trên bộ PDF mẫu (DEP-002).</t>
        </is>
      </c>
    </row>
    <row r="16" ht="165" customHeight="1">
      <c r="A16" s="14" t="inlineStr">
        <is>
          <t>5. Business Quality &amp; Non-Functional Attributes</t>
        </is>
      </c>
      <c r="B16" s="5" t="inlineStr">
        <is>
          <t>Compliance &amp; Regulatory Standards</t>
        </is>
      </c>
      <c r="C16" s="6" t="inlineStr">
        <is>
          <t>Are legal, regulatory, compliance, data privacy (e.g., GDPR, HIPAA), and auditability requirements fully identified?</t>
        </is>
      </c>
      <c r="D16" s="7" t="inlineStr">
        <is>
          <t>Pending</t>
        </is>
      </c>
      <c r="E16" s="6" t="inlineStr">
        <is>
          <t>Chưa đạt. Chỉ có câu hỏi mở về bảo mật và lưu giữ dữ liệu (OQ-008, OQ-016); chưa xác định quy định áp dụng.
Hành động: xác định PDF có chứa dữ liệu cá nhân không; nếu có, đối chiếu quy định bảo vệ dữ liệu cá nhân của Việt Nam (Nghị định 13/2023/NĐ-CP và luật thay thế nếu đã có hiệu lực) — cần pháp chế xác nhận; xem xét nghĩa vụ bảo mật theo hợp đồng với đối tác; xác định nhu cầu lưu vết (audit log).</t>
        </is>
      </c>
    </row>
    <row r="17" ht="105" customHeight="1">
      <c r="A17" s="15" t="n"/>
      <c r="B17" s="9" t="inlineStr">
        <is>
          <t>Business Continuity &amp; Availability</t>
        </is>
      </c>
      <c r="C17" s="6" t="inlineStr">
        <is>
          <t>Are business impact expectations for system downtime, recovery time objectives (RTO), and availability targets defined?</t>
        </is>
      </c>
      <c r="D17" s="7" t="inlineStr">
        <is>
          <t>Pending</t>
        </is>
      </c>
      <c r="E17" s="6" t="inlineStr">
        <is>
          <t>Chưa đạt. BRD không đề cập kỳ vọng về khả dụng, thời gian ngừng chấp nhận được hay khôi phục.
Hành động: bổ sung mục ngắn — với MVP có thể nêu rõ (vd. chỉ cần hoạt động trong giờ làm việc, không có RTO/RPO) kèm lý do, và thêm OQ cho quản lý xác nhận.</t>
        </is>
      </c>
    </row>
    <row r="18" ht="120" customHeight="1">
      <c r="A18" s="16" t="n"/>
      <c r="B18" s="9" t="inlineStr">
        <is>
          <t>Security &amp; Business Policy Constraints</t>
        </is>
      </c>
      <c r="C18" s="6" t="inlineStr">
        <is>
          <t>Are high-level security, access control guidelines, and business policy enforcement rules established?</t>
        </is>
      </c>
      <c r="D18" s="7" t="inlineStr">
        <is>
          <t>In Progress</t>
        </is>
      </c>
      <c r="E18" s="6" t="inlineStr">
        <is>
          <t>Đạt một phần. Có BR-013 (chỉ người được cấp quyền truy cập — mới ở mức Should), BRU-001..005, RSK-002.
Thiếu: quy tắc phân quyền (ai được tải lên / gỡ tài liệu, ai được xem hội thoại của ai), quyết định đăng nhập (OQ-014).
Đề xuất: nâng BR-013 lên Must nếu OQ-008 xác định tài liệu là mật.</t>
        </is>
      </c>
    </row>
    <row r="19" ht="90" customHeight="1">
      <c r="A19" s="17" t="inlineStr">
        <is>
          <t>6. Assumptions, Dependencies &amp; Risks</t>
        </is>
      </c>
      <c r="B19" s="5" t="inlineStr">
        <is>
          <t>Business Assumptions</t>
        </is>
      </c>
      <c r="C19" s="6" t="inlineStr">
        <is>
          <t>Are all critical underlying business assumptions, facts, and expectations explicitly stated?</t>
        </is>
      </c>
      <c r="D19" s="7" t="inlineStr">
        <is>
          <t>Done</t>
        </is>
      </c>
      <c r="E19" s="6" t="inlineStr">
        <is>
          <t>Đạt. ASM-001..005 nêu rõ mô tả, tác động nếu sai, người phụ trách, cách kiểm chứng và hạn.
Gợi ý bổ sung: giả định về chi phí AI theo số câu hỏi và về việc người dùng có kết nối Internet/truy cập web nội bộ.</t>
        </is>
      </c>
    </row>
    <row r="20" ht="90" customHeight="1">
      <c r="A20" s="15" t="n"/>
      <c r="B20" s="9" t="inlineStr">
        <is>
          <t>Dependencies &amp; Constraints</t>
        </is>
      </c>
      <c r="C20" s="6" t="inlineStr">
        <is>
          <t>Are interdependencies with other business initiatives, third-party services, legacy systems, or vendor deliveries mapped?</t>
        </is>
      </c>
      <c r="D20" s="7" t="inlineStr">
        <is>
          <t>In Progress</t>
        </is>
      </c>
      <c r="E20" s="6" t="inlineStr">
        <is>
          <t>Đạt một phần. Có DEP-001 (dịch vụ AI) và DEP-002 (bộ dữ liệu nghiệm thu).
Thiếu: quan hệ với sáng kiến khác, hệ thống lưu trữ tài liệu hiện có và hạ tầng/hosting nội bộ — chưa được khảo sát (OQ-001).</t>
        </is>
      </c>
    </row>
    <row r="21" ht="120" customHeight="1">
      <c r="A21" s="16" t="n"/>
      <c r="B21" s="9" t="inlineStr">
        <is>
          <t>Business Risks &amp; Mitigation</t>
        </is>
      </c>
      <c r="C21" s="6" t="inlineStr">
        <is>
          <t>Are major business risks identified along with potential mitigation strategies and contingency plans?</t>
        </is>
      </c>
      <c r="D21" s="7" t="inlineStr">
        <is>
          <t>In Progress</t>
        </is>
      </c>
      <c r="E21" s="6" t="inlineStr">
        <is>
          <t>Đạt một phần. RSK-001..005 có nguyên nhân → sự kiện → tác động, mức độ, người phụ trách và biện pháp giảm thiểu.
Thiếu: kế hoạch dự phòng (contingency) khi rủi ro xảy ra, vd. RSK-002: phương án AI chạy nội bộ nếu không được dùng dịch vụ ngoài; RSK-003: danh sách file cần xử lý thủ công.</t>
        </is>
      </c>
    </row>
    <row r="23">
      <c r="B23" s="18" t="inlineStr">
        <is>
          <t>Review summary</t>
        </is>
      </c>
    </row>
    <row r="24">
      <c r="B24" s="18" t="inlineStr">
        <is>
          <t>Tài liệu được review</t>
        </is>
      </c>
      <c r="C24" s="19" t="inlineStr">
        <is>
          <t>docs/requirements/BRD.md — BRD-CWD-001 v0.1 (Draft)</t>
        </is>
      </c>
    </row>
    <row r="25">
      <c r="B25" s="18" t="inlineStr">
        <is>
          <t>Ngày review</t>
        </is>
      </c>
      <c r="C25" s="19" t="inlineStr">
        <is>
          <t>2026-10-20</t>
        </is>
      </c>
    </row>
    <row r="26">
      <c r="B26" s="18" t="inlineStr">
        <is>
          <t>Người review</t>
        </is>
      </c>
      <c r="C26" s="19" t="inlineStr">
        <is>
          <t>Huy Toan (BA) — tự review, cần review chéo bởi quản lý/đội BD</t>
        </is>
      </c>
    </row>
    <row r="27">
      <c r="B27" s="18" t="inlineStr">
        <is>
          <t>Quy ước Status</t>
        </is>
      </c>
      <c r="C27" s="19" t="inlineStr">
        <is>
          <t>Done = đạt; In Progress = đạt một phần, cần bổ sung; Pending = chưa đạt; N/A = không áp dụng</t>
        </is>
      </c>
    </row>
    <row r="28">
      <c r="B28" s="18" t="inlineStr">
        <is>
          <t>Done</t>
        </is>
      </c>
      <c r="C28" s="19">
        <f>COUNTIF($D$2:$D$21,"Done")</f>
        <v/>
      </c>
    </row>
    <row r="29">
      <c r="B29" s="18" t="inlineStr">
        <is>
          <t>In Progress</t>
        </is>
      </c>
      <c r="C29" s="19">
        <f>COUNTIF($D$2:$D$21,"In Progress")</f>
        <v/>
      </c>
    </row>
    <row r="30">
      <c r="B30" s="18" t="inlineStr">
        <is>
          <t>Pending</t>
        </is>
      </c>
      <c r="C30" s="19">
        <f>COUNTIF($D$2:$D$21,"Pending")</f>
        <v/>
      </c>
    </row>
    <row r="31">
      <c r="B31" s="18" t="inlineStr">
        <is>
          <t>N/A</t>
        </is>
      </c>
      <c r="C31" s="19">
        <f>COUNTIF($D$2:$D$21,"N/A")</f>
        <v/>
      </c>
    </row>
    <row r="32">
      <c r="B32" s="18" t="inlineStr">
        <is>
          <t>Tỷ lệ đạt (Done / áp dụng)</t>
        </is>
      </c>
      <c r="C32" s="20">
        <f>IFERROR(COUNTIF($D$2:$D$21,"Done")/(COUNTA($D$2:$D$21)-COUNTIF($D$2:$D$21,"N/A")),0)</f>
        <v/>
      </c>
    </row>
    <row r="33" ht="45" customHeight="1">
      <c r="B33" s="18" t="inlineStr">
        <is>
          <t>Kết luận</t>
        </is>
      </c>
      <c r="C33" s="19" t="inlineStr">
        <is>
          <t>Ready with conditions — đủ để review, chưa đủ để phê duyệt. Ưu tiên xử lý: vision statement, user profile, kịch bản nghiệp vụ, tuân thủ/pháp lý, khả dụng (các dòng Pending) và các OQ chặn: OQ-008, OQ-013, OQ-004, OQ-015, OQ-002/003, OQ-001.</t>
        </is>
      </c>
    </row>
  </sheetData>
  <mergeCells count="6">
    <mergeCell ref="A16:A18"/>
    <mergeCell ref="A2:A5"/>
    <mergeCell ref="A12:A15"/>
    <mergeCell ref="A19:A21"/>
    <mergeCell ref="A6:A8"/>
    <mergeCell ref="A9:A11"/>
  </mergeCells>
  <dataValidations count="2">
    <dataValidation sqref="D2:D21" showDropDown="0" showInputMessage="0" showErrorMessage="0" allowBlank="1" errorTitle="Invalid Entry" error="Your entry is not in the list" promptTitle="Status Selection" prompt="Please select from the list" type="list">
      <formula1>"Pending,In Progress,Done,N/A"</formula1>
    </dataValidation>
    <dataValidation sqref="D2:D21" showDropDown="0" showInputMessage="0" showErrorMessage="0" allowBlank="1" errorTitle="Invalid Entry" error="Your entry is not in the list" promptTitle="Status Selection" prompt="Please select from the list" type="list">
      <formula1>"Pending,In Progress,Done,N/A"</formula1>
    </dataValidation>
  </dataValidation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2026-10-19T10:10:57Z</dcterms:created>
  <dcterms:modified xsi:type="dcterms:W3CDTF">2026-10-20T15:30:37Z</dcterms:modified>
  <cp:revision>1</cp:revision>
</cp:coreProperties>
</file>